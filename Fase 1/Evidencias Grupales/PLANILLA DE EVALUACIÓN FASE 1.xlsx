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2\grupo 2 (Castillo - Cardenas  - Vargas)\"/>
    </mc:Choice>
  </mc:AlternateContent>
  <xr:revisionPtr revIDLastSave="0" documentId="13_ncr:1_{C325C12A-067B-4D1E-83E3-CDC3BE2A1148}" xr6:coauthVersionLast="47" xr6:coauthVersionMax="47" xr10:uidLastSave="{00000000-0000-0000-0000-000000000000}"/>
  <bookViews>
    <workbookView xWindow="-120" yWindow="-120" windowWidth="20730" windowHeight="111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4"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Arturo</author>
  </authors>
  <commentList>
    <comment ref="C15" authorId="0" shapeId="0" xr:uid="{3F0B791E-AC21-421D-9379-4B1BC936B82B}">
      <text>
        <r>
          <rPr>
            <b/>
            <sz val="9"/>
            <color indexed="81"/>
            <rFont val="Tahoma"/>
            <charset val="1"/>
          </rPr>
          <t>El proyecto no presenta aportes más claros sobre un CRUD, debil uso de innovación</t>
        </r>
      </text>
    </comment>
    <comment ref="C19" authorId="0" shapeId="0" xr:uid="{C0004BD4-9967-4BC6-8906-07C274355764}">
      <text>
        <r>
          <rPr>
            <b/>
            <sz val="9"/>
            <color indexed="81"/>
            <rFont val="Tahoma"/>
            <charset val="1"/>
          </rPr>
          <t>las plantillas de CU son intrumentos que van separdos como archivos y el nombre va el ID del CU para hacer la corelación con los diagramas particulares de CU</t>
        </r>
      </text>
    </comment>
  </commentList>
</comments>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<sst xmlns="http://schemas.openxmlformats.org/spreadsheetml/2006/main" count="157" uniqueCount="98">
  <si>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</si>
  <si>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</si>
  <si>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</si>
  <si>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</si>
  <si>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</si>
  <si>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</si>
  <si>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</si>
  <si>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</si>
  <si>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</si>
  <si>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</si>
  <si>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</si>
  <si>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</si>
  <si>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</si>
  <si>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</si>
  <si>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</si>
  <si>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</si>
  <si>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</si>
  <si>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</si>
  <si>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</si>
  <si>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</si>
  <si>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</si>
  <si>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</si>
  <si>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</si>
  <si>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</si>
  <si>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</si>
  <si>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</si>
  <si>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</si>
  <si>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</si>
  <si>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</si>
  <si>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</si>
  <si>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</si>
  <si>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</si>
  <si>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</si>
  <si>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</si>
  <si>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</si>
  <si>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</si>
  <si>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</si>
  <si>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</si>
  <si>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</si>
  <si>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</si>
  <si>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</si>
  <si>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</si>
  <si>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</si>
  <si>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</si>
  <si>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</si>
  <si>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</si>
  <si>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</si>
  <si>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</si>
  <si>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</si>
  <si>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</si>
  <si>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</si>
  <si>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</si>
  <si>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</si>
  <si>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</si>
  <si>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</si>
  <si>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</si>
  <si>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</si>
  <si>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</si>
  <si>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</si>
  <si>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</si>
  <si>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</si>
  <si>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</si>
  <si>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</si>
  <si>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</si>
  <si>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</si>
  <si>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</si>
  <si>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</si>
  <si>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</si>
  <si>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</si>
  <si>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</si>
  <si>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</si>
  <si>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</si>
  <si>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</si>
  <si>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</si>
  <si>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</si>
  <si>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</si>
  <si>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</si>
  <si>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</si>
  <si>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</si>
  <si>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</si>
  <si>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</si>
  <si>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</si>
  <si>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</si>
  <si>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</si>
  <si>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</si>
  <si>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</si>
  <si>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</si>
  <si>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</si>
  <si>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</si>
  <si>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</si>
  <si>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</si>
  <si>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</si>
  <si>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</si>
  <si>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</si>
  <si>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</si>
  <si>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Axel Cardenas</t>
  </si>
  <si>
    <t>Diego Castillo</t>
  </si>
  <si>
    <t>Diego Vargas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</si>
</sst>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
      <b/>
      <sz val="9"/>
      <color indexed="81"/>
      <name val="Tahoma"/>
      <charset val="1"/>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9" sqref="C1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6.4</v>
      </c>
      <c r="D4" s="6">
        <f>$C$35</f>
        <v>7</v>
      </c>
      <c r="E4" s="43">
        <f>C4*C$2+D4*D$2</f>
        <v>6.5500000000000007</v>
      </c>
      <c r="G4" s="1"/>
    </row>
    <row r="5" spans="1:11" x14ac:dyDescent="0.25">
      <c r="A5" s="5">
        <v>2</v>
      </c>
      <c r="B5" s="32" t="s">
        <v>96</v>
      </c>
      <c r="C5" s="6">
        <f>EVALUACION1!$C$24</f>
        <v>6.4</v>
      </c>
      <c r="D5" s="6">
        <f>C47</f>
        <v>7</v>
      </c>
      <c r="E5" s="43">
        <f t="shared" ref="E5:E6" si="0">C5*C$2+D5*D$2</f>
        <v>6.5500000000000007</v>
      </c>
      <c r="G5" s="1"/>
    </row>
    <row r="6" spans="1:11" x14ac:dyDescent="0.25">
      <c r="A6" s="5">
        <v>3</v>
      </c>
      <c r="B6" s="32" t="s">
        <v>97</v>
      </c>
      <c r="C6" s="6">
        <f>EVALUACION1!$C$24</f>
        <v>6.4</v>
      </c>
      <c r="D6" s="6">
        <f>C58</f>
        <v>7</v>
      </c>
      <c r="E6" s="43">
        <f t="shared" si="0"/>
        <v>6.5500000000000007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B17</f>
        <v>6. Propone una metodología de trabajo que permite alcanzar los objetivos propuestos y es pertinente con los requerimientos disciplinares.</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93</v>
      </c>
      <c r="D15" s="16" t="str">
        <f t="shared" si="1"/>
        <v/>
      </c>
      <c r="E15" s="16" t="str">
        <f t="shared" ref="E15:E21" si="9">IF(D15="X",100*0.05,"")</f>
        <v/>
      </c>
      <c r="F15" s="16" t="str">
        <f t="shared" si="2"/>
        <v/>
      </c>
      <c r="G15" s="16" t="str">
        <f t="shared" ref="G15:G21" si="10">IF(F15="X",60*0.05,"")</f>
        <v/>
      </c>
      <c r="H15" s="16" t="str">
        <f t="shared" si="3"/>
        <v>X</v>
      </c>
      <c r="I15" s="16">
        <f t="shared" ref="I15:I21" si="11">IF(H15="X",30*0.05,"")</f>
        <v>1.5</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64.5</v>
      </c>
      <c r="D23" s="19"/>
      <c r="E23" s="19">
        <f>SUM(E13:E22)</f>
        <v>60</v>
      </c>
      <c r="F23" s="19"/>
      <c r="G23" s="19">
        <f>SUM(G13:G22)</f>
        <v>3</v>
      </c>
      <c r="H23" s="19"/>
      <c r="I23" s="19">
        <f>SUM(I13:I22)</f>
        <v>1.5</v>
      </c>
      <c r="J23" s="19"/>
      <c r="K23" s="19">
        <f>SUM(K13:K22)</f>
        <v>0</v>
      </c>
    </row>
    <row r="24" spans="1:11" ht="15.75" customHeight="1" outlineLevel="1" x14ac:dyDescent="0.3">
      <c r="A24" s="50"/>
      <c r="B24" s="36" t="s">
        <v>12</v>
      </c>
      <c r="C24" s="20">
        <f>VLOOKUP(C23,ESCALA_IEP!A2:B142,2,FALSE)</f>
        <v>6.4</v>
      </c>
    </row>
    <row r="25" spans="1:11" ht="15.75" customHeight="1" x14ac:dyDescent="0.25"/>
    <row r="26" spans="1:11" ht="15.75" customHeight="1" x14ac:dyDescent="0.25"/>
    <row r="27" spans="1:11" ht="15.75" customHeight="1" x14ac:dyDescent="0.25">
      <c r="A27" s="60" t="s">
        <v>13</v>
      </c>
      <c r="B27" s="49" t="s">
        <v>14</v>
      </c>
      <c r="C27" s="52" t="str">
        <f>$B$4</f>
        <v>Axel Cardenas</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Diego Castillo</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Diego Vargas</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Alex Vargas Reyes</cp:lastModifiedBy>
  <cp:revision/>
  <dcterms:created xsi:type="dcterms:W3CDTF">2023-08-07T04:08:01Z</dcterms:created>
  <dcterms:modified xsi:type="dcterms:W3CDTF">2025-09-21T01:48:42Z</dcterms:modified>
  <cp:category/>
  <cp:contentStatus/>
</cp:coreProperties>
</file>